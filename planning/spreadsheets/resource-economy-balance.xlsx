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ates" sheetId="1" state="visible" r:id="rId1"/>
    <sheet xmlns:r="http://schemas.openxmlformats.org/officeDocument/2006/relationships" name="Production Chains" sheetId="2" state="visible" r:id="rId2"/>
    <sheet xmlns:r="http://schemas.openxmlformats.org/officeDocument/2006/relationships" name="Durability" sheetId="3" state="visible" r:id="rId3"/>
    <sheet xmlns:r="http://schemas.openxmlformats.org/officeDocument/2006/relationships" name="Supply-Dem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Base Rate</t>
        </is>
      </c>
      <c r="C1" s="1" t="inlineStr">
        <is>
          <t>Tool Modifier</t>
        </is>
      </c>
      <c r="D1" s="1" t="inlineStr">
        <is>
          <t>Skill Modifier</t>
        </is>
      </c>
      <c r="E1" s="1" t="inlineStr">
        <is>
          <t>Final Rate</t>
        </is>
      </c>
      <c r="F1" s="1" t="inlineStr">
        <is>
          <t>Unit</t>
        </is>
      </c>
    </row>
    <row r="2">
      <c r="A2" t="inlineStr">
        <is>
          <t>Wood</t>
        </is>
      </c>
      <c r="B2" t="n">
        <v>10</v>
      </c>
      <c r="C2">
        <f>1+(ToolTier*0.5)</f>
        <v/>
      </c>
      <c r="D2">
        <f>1+(Skill/100)</f>
        <v/>
      </c>
      <c r="E2">
        <f>B2*C2*D2</f>
        <v/>
      </c>
      <c r="F2" t="inlineStr">
        <is>
          <t>units/min</t>
        </is>
      </c>
    </row>
    <row r="3">
      <c r="A3" t="inlineStr">
        <is>
          <t>Stone</t>
        </is>
      </c>
      <c r="B3" t="n">
        <v>5</v>
      </c>
      <c r="C3">
        <f>1+(ToolTier*0.5)</f>
        <v/>
      </c>
      <c r="D3">
        <f>1+(Skill/100)</f>
        <v/>
      </c>
      <c r="E3">
        <f>B3*C3*D3</f>
        <v/>
      </c>
      <c r="F3" t="inlineStr">
        <is>
          <t>units/min</t>
        </is>
      </c>
    </row>
    <row r="4">
      <c r="A4" t="inlineStr">
        <is>
          <t>Iron Ore</t>
        </is>
      </c>
      <c r="B4" t="n">
        <v>3</v>
      </c>
      <c r="C4">
        <f>1+(ToolTier*0.5)</f>
        <v/>
      </c>
      <c r="D4">
        <f>1+(Skill/100)</f>
        <v/>
      </c>
      <c r="E4">
        <f>B4*C4*D4</f>
        <v/>
      </c>
      <c r="F4" t="inlineStr">
        <is>
          <t>units/min</t>
        </is>
      </c>
    </row>
    <row r="5">
      <c r="A5" t="inlineStr">
        <is>
          <t>Food (Farm)</t>
        </is>
      </c>
      <c r="B5" t="n">
        <v>5</v>
      </c>
      <c r="C5" t="inlineStr">
        <is>
          <t>N/A</t>
        </is>
      </c>
      <c r="D5">
        <f>1+(Skill/100)</f>
        <v/>
      </c>
      <c r="E5">
        <f>B7*D7</f>
        <v/>
      </c>
      <c r="F5" t="inlineStr">
        <is>
          <t>units/min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Input 1</t>
        </is>
      </c>
      <c r="C1" s="1" t="inlineStr">
        <is>
          <t>Qty 1</t>
        </is>
      </c>
      <c r="D1" s="1" t="inlineStr">
        <is>
          <t>Input 2</t>
        </is>
      </c>
      <c r="E1" s="1" t="inlineStr">
        <is>
          <t>Qty 2</t>
        </is>
      </c>
      <c r="F1" s="1" t="inlineStr">
        <is>
          <t>Time</t>
        </is>
      </c>
      <c r="G1" s="1" t="inlineStr">
        <is>
          <t>Output</t>
        </is>
      </c>
      <c r="H1" s="1" t="inlineStr">
        <is>
          <t>Efficiency</t>
        </is>
      </c>
    </row>
    <row r="2">
      <c r="A2" t="inlineStr">
        <is>
          <t>Stone Axe</t>
        </is>
      </c>
      <c r="B2" t="inlineStr">
        <is>
          <t>Wood</t>
        </is>
      </c>
      <c r="C2" t="n">
        <v>5</v>
      </c>
      <c r="D2" t="inlineStr">
        <is>
          <t>Stone</t>
        </is>
      </c>
      <c r="E2" t="n">
        <v>10</v>
      </c>
      <c r="F2" t="n">
        <v>2</v>
      </c>
      <c r="G2" t="n">
        <v>1</v>
      </c>
      <c r="H2" t="inlineStr">
        <is>
          <t>100%</t>
        </is>
      </c>
    </row>
    <row r="3">
      <c r="A3" t="inlineStr">
        <is>
          <t>Iron Ingot</t>
        </is>
      </c>
      <c r="B3" t="inlineStr">
        <is>
          <t>Iron Ore</t>
        </is>
      </c>
      <c r="C3" t="n">
        <v>3</v>
      </c>
      <c r="D3" t="inlineStr">
        <is>
          <t>Coal</t>
        </is>
      </c>
      <c r="E3" t="n">
        <v>2</v>
      </c>
      <c r="F3" t="n">
        <v>8</v>
      </c>
      <c r="G3" t="n">
        <v>1</v>
      </c>
      <c r="H3" t="inlineStr">
        <is>
          <t>100%</t>
        </is>
      </c>
    </row>
    <row r="4">
      <c r="A4" t="inlineStr">
        <is>
          <t>Iron Tool</t>
        </is>
      </c>
      <c r="B4" t="inlineStr">
        <is>
          <t>Iron Ingot</t>
        </is>
      </c>
      <c r="C4" t="n">
        <v>2</v>
      </c>
      <c r="D4" t="inlineStr">
        <is>
          <t>Wood</t>
        </is>
      </c>
      <c r="E4" t="n">
        <v>3</v>
      </c>
      <c r="F4" t="n">
        <v>5</v>
      </c>
      <c r="G4" t="n">
        <v>1</v>
      </c>
      <c r="H4" t="inlineStr">
        <is>
          <t>100%</t>
        </is>
      </c>
    </row>
    <row r="5">
      <c r="A5" t="inlineStr">
        <is>
          <t>Bread</t>
        </is>
      </c>
      <c r="B5" t="inlineStr">
        <is>
          <t>Flour</t>
        </is>
      </c>
      <c r="C5" t="n">
        <v>1</v>
      </c>
      <c r="D5" t="inlineStr">
        <is>
          <t>Water</t>
        </is>
      </c>
      <c r="E5" t="n">
        <v>1</v>
      </c>
      <c r="F5" t="n">
        <v>1</v>
      </c>
      <c r="G5" t="n">
        <v>2</v>
      </c>
      <c r="H5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Type</t>
        </is>
      </c>
      <c r="B1" s="1" t="inlineStr">
        <is>
          <t>Durability</t>
        </is>
      </c>
      <c r="C1" s="1" t="inlineStr">
        <is>
          <t>Uses/Day (Heavy)</t>
        </is>
      </c>
      <c r="D1" s="1" t="inlineStr">
        <is>
          <t>Lifetime (Days)</t>
        </is>
      </c>
    </row>
    <row r="2">
      <c r="A2" t="inlineStr">
        <is>
          <t>Stone</t>
        </is>
      </c>
      <c r="B2" t="n">
        <v>20</v>
      </c>
      <c r="C2" t="n">
        <v>20</v>
      </c>
      <c r="D2">
        <f>B2/C2</f>
        <v/>
      </c>
    </row>
    <row r="3">
      <c r="A3" t="inlineStr">
        <is>
          <t>Copper</t>
        </is>
      </c>
      <c r="B3" t="n">
        <v>50</v>
      </c>
      <c r="C3" t="n">
        <v>20</v>
      </c>
      <c r="D3">
        <f>B3/C3</f>
        <v/>
      </c>
    </row>
    <row r="4">
      <c r="A4" t="inlineStr">
        <is>
          <t>Iron</t>
        </is>
      </c>
      <c r="B4" t="n">
        <v>100</v>
      </c>
      <c r="C4" t="n">
        <v>20</v>
      </c>
      <c r="D4">
        <f>B4/C4</f>
        <v/>
      </c>
    </row>
    <row r="5">
      <c r="A5" t="inlineStr">
        <is>
          <t>Steel</t>
        </is>
      </c>
      <c r="B5" t="n">
        <v>200</v>
      </c>
      <c r="C5" t="n">
        <v>20</v>
      </c>
      <c r="D5">
        <f>B5/C5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Daily Supply</t>
        </is>
      </c>
      <c r="C1" s="1" t="inlineStr">
        <is>
          <t>Daily Demand</t>
        </is>
      </c>
      <c r="D1" s="1" t="inlineStr">
        <is>
          <t>Surplus/Deficit</t>
        </is>
      </c>
      <c r="E1" s="1" t="inlineStr">
        <is>
          <t>Price Elasticity</t>
        </is>
      </c>
    </row>
    <row r="2">
      <c r="A2" t="inlineStr">
        <is>
          <t>Food</t>
        </is>
      </c>
      <c r="B2" t="n">
        <v>24</v>
      </c>
      <c r="C2" t="n">
        <v>18</v>
      </c>
      <c r="D2" s="2">
        <f>B2-C2</f>
        <v/>
      </c>
      <c r="E2" t="inlineStr">
        <is>
          <t>Low</t>
        </is>
      </c>
    </row>
    <row r="3">
      <c r="A3" t="inlineStr">
        <is>
          <t>Wood</t>
        </is>
      </c>
      <c r="B3" t="n">
        <v>60</v>
      </c>
      <c r="C3" t="n">
        <v>15</v>
      </c>
      <c r="D3" s="2">
        <f>B3-C3</f>
        <v/>
      </c>
      <c r="E3" t="inlineStr">
        <is>
          <t>Medium</t>
        </is>
      </c>
    </row>
    <row r="4">
      <c r="A4" t="inlineStr">
        <is>
          <t>Iron</t>
        </is>
      </c>
      <c r="B4" t="n">
        <v>6</v>
      </c>
      <c r="C4" t="n">
        <v>3</v>
      </c>
      <c r="D4" s="2">
        <f>B4-C4</f>
        <v/>
      </c>
      <c r="E4" t="inlineStr">
        <is>
          <t>High</t>
        </is>
      </c>
    </row>
    <row r="5">
      <c r="A5" t="inlineStr">
        <is>
          <t>Tools</t>
        </is>
      </c>
      <c r="B5" t="n">
        <v>0.1</v>
      </c>
      <c r="C5" t="n">
        <v>0.2</v>
      </c>
      <c r="D5" s="2">
        <f>B5-C5</f>
        <v/>
      </c>
      <c r="E5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2026-01-29T22:46:21Z</dcterms:created>
  <dcterms:modified xmlns:dcterms="http://purl.org/dc/terms/" xmlns:xsi="http://www.w3.org/2001/XMLSchema-instance" xsi:type="dcterms:W3CDTF">2026-01-29T22:46:21Z</dcterms:modified>
</cp:coreProperties>
</file>